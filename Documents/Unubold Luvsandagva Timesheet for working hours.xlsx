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ine\Downloads\"/>
    </mc:Choice>
  </mc:AlternateContent>
  <xr:revisionPtr revIDLastSave="0" documentId="8_{C664EE28-F358-4CE3-8864-E9B5280924AA}" xr6:coauthVersionLast="47" xr6:coauthVersionMax="47" xr10:uidLastSave="{00000000-0000-0000-0000-000000000000}"/>
  <bookViews>
    <workbookView xWindow="-110" yWindow="-110" windowWidth="25820" windowHeight="15500" firstSheet="3" activeTab="3" xr2:uid="{00000000-000D-0000-FFFF-FFFF00000000}"/>
  </bookViews>
  <sheets>
    <sheet name="May" sheetId="2" r:id="rId1"/>
    <sheet name="June" sheetId="1" r:id="rId2"/>
    <sheet name="July" sheetId="3" r:id="rId3"/>
    <sheet name="Augu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4" l="1"/>
  <c r="D43" i="3"/>
  <c r="D43" i="1"/>
  <c r="C43" i="1"/>
  <c r="C43" i="4"/>
  <c r="C43" i="3"/>
  <c r="D43" i="2"/>
  <c r="C43" i="2"/>
</calcChain>
</file>

<file path=xl/sharedStrings.xml><?xml version="1.0" encoding="utf-8"?>
<sst xmlns="http://schemas.openxmlformats.org/spreadsheetml/2006/main" count="113" uniqueCount="49">
  <si>
    <t>LAB University of Applied Sciences</t>
  </si>
  <si>
    <t>Working time form</t>
  </si>
  <si>
    <t>Name of student:</t>
  </si>
  <si>
    <t>Project</t>
  </si>
  <si>
    <t>LAB REDI</t>
  </si>
  <si>
    <t>Date</t>
  </si>
  <si>
    <t>Tasks</t>
  </si>
  <si>
    <t>online (h)</t>
  </si>
  <si>
    <t>on Campus (h)</t>
  </si>
  <si>
    <t>Background research</t>
  </si>
  <si>
    <t>Example, please delete</t>
  </si>
  <si>
    <t>Total</t>
  </si>
  <si>
    <t>Unubold Luvsandagva</t>
  </si>
  <si>
    <t>LAB REDI - 3.4 Green Transition Dashboard</t>
  </si>
  <si>
    <t>Project review, Getting familiar with the project</t>
  </si>
  <si>
    <t>-</t>
  </si>
  <si>
    <t>Creating project plan</t>
  </si>
  <si>
    <t>Background research: Finding sources, materials to study</t>
  </si>
  <si>
    <t>Background study: UI/UX principles</t>
  </si>
  <si>
    <t>Background study: UX Research methods</t>
  </si>
  <si>
    <t>Background study: UI Examples</t>
  </si>
  <si>
    <t>Background study: Figma and other tools to use</t>
  </si>
  <si>
    <t>Brainstorming ideas, making first low-fi design</t>
  </si>
  <si>
    <t>Improvements on first Low-fi design</t>
  </si>
  <si>
    <t>Finishing touches on first Low-fi design with different variation</t>
  </si>
  <si>
    <t>Implementing map on React-app</t>
  </si>
  <si>
    <t xml:space="preserve">First high-fi wireframe </t>
  </si>
  <si>
    <t xml:space="preserve">High-fi wireframe </t>
  </si>
  <si>
    <t>High-fi wireframe (trying out ideas and positions)</t>
  </si>
  <si>
    <t>High-fi wireframe (Generating assets)</t>
  </si>
  <si>
    <t xml:space="preserve">Building high-fi wireframe </t>
  </si>
  <si>
    <t>Final touches on High-FI wireframe</t>
  </si>
  <si>
    <t>Started working on building the UI on React</t>
  </si>
  <si>
    <t>Building the Dashboard on React (Map, Battery status)</t>
  </si>
  <si>
    <t xml:space="preserve">Building the Dashboard on React (Trip info and status, vehicle status) </t>
  </si>
  <si>
    <t xml:space="preserve">Building the Dashboard on React (Steering-wheel and Pedals) </t>
  </si>
  <si>
    <t xml:space="preserve">Building the Dashboard on React (Steering-wheel and Pedals Physics) </t>
  </si>
  <si>
    <t xml:space="preserve">Building the Dashboard on React (Gear indicator, Regen Level % physics)  </t>
  </si>
  <si>
    <t>Building the Dashboard on React (Speedometer &amp; physics)</t>
  </si>
  <si>
    <t>Building the Dashboard on React (Simulation stats, Elevation screen)</t>
  </si>
  <si>
    <t>Building the Dashboard on React (Interaction between elements)</t>
  </si>
  <si>
    <t xml:space="preserve">Building the Dashboard on React (Light and Dark theme) </t>
  </si>
  <si>
    <t>Building the Dashboard on React (Final touches to the Dashboard) theme</t>
  </si>
  <si>
    <t>Building the Dashboard on React (Final touches to the Dashboard) bug fixes</t>
  </si>
  <si>
    <t>Building the Dashboard on React (Final touches to the Dashboard) clean up</t>
  </si>
  <si>
    <t>UI/UX Research</t>
  </si>
  <si>
    <t>Small changes to the Dashboard from the Research results</t>
  </si>
  <si>
    <t>Working on the Final Report</t>
  </si>
  <si>
    <t>Final checkup on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</si>
</sst>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8">
    <font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i/>
      <sz val="10"/>
      <color theme="4"/>
      <name val="Arial"/>
      <family val="2"/>
    </font>
    <font>
      <sz val="10"/>
      <color theme="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3" fillId="2" borderId="0" xfId="0" applyFont="1" applyFill="1"/>
    <xf numFmtId="0" fontId="5" fillId="0" borderId="1" xfId="0" applyFont="1" applyBorder="1"/>
    <xf numFmtId="14" fontId="6" fillId="0" borderId="1" xfId="0" applyNumberFormat="1" applyFont="1" applyBorder="1"/>
    <xf numFmtId="0" fontId="6" fillId="0" borderId="1" xfId="0" applyFont="1" applyBorder="1"/>
    <xf numFmtId="0" fontId="4" fillId="0" borderId="1" xfId="0" applyFont="1" applyBorder="1"/>
    <xf numFmtId="0" fontId="6" fillId="0" borderId="0" xfId="0" applyFont="1"/>
    <xf numFmtId="0" fontId="3" fillId="0" borderId="1" xfId="0" applyFont="1" applyBorder="1"/>
    <xf numFmtId="0" fontId="3" fillId="3" borderId="0" xfId="0" applyFont="1" applyFill="1"/>
    <xf numFmtId="0" fontId="5" fillId="0" borderId="0" xfId="0" applyFont="1"/>
    <xf numFmtId="0" fontId="7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3" borderId="0" xfId="0" applyFont="1" applyFill="1"/>
    <xf numFmtId="0" fontId="4" fillId="3" borderId="2" xfId="0" applyFont="1" applyFill="1" applyBorder="1"/>
    <xf numFmtId="0" fontId="4" fillId="0" borderId="1" xfId="0" applyFont="1" applyBorder="1" applyAlignment="1">
      <alignment horizontal="center"/>
    </xf>
    <xf numFmtId="14" fontId="3" fillId="0" borderId="1" xfId="0" applyNumberFormat="1" applyFont="1" applyBorder="1"/>
    <xf numFmtId="164" fontId="7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164" fontId="3" fillId="3" borderId="0" xfId="0" applyNumberFormat="1" applyFont="1" applyFill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2</xdr:row>
      <xdr:rowOff>116837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806E37D-7E45-4779-B3A9-709C64973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0650" cy="478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0</xdr:rowOff>
    </xdr:from>
    <xdr:to>
      <xdr:col>1</xdr:col>
      <xdr:colOff>323851</xdr:colOff>
      <xdr:row>3</xdr:row>
      <xdr:rowOff>2537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4E1179-BD26-4806-819E-E1E2CCCD5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0"/>
          <a:ext cx="1390650" cy="478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2</xdr:row>
      <xdr:rowOff>97787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933A92-EFFF-43B3-A466-6FAC62E93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0650" cy="478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19051</xdr:colOff>
      <xdr:row>0</xdr:row>
      <xdr:rowOff>0</xdr:rowOff>
    </xdr:from>
    <xdr:to>
      <xdr:col>1</xdr:col>
      <xdr:colOff>323851</xdr:colOff>
      <xdr:row>2</xdr:row>
      <xdr:rowOff>97787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43276072-41EE-4A6C-BB9C-B5E211DCD2CE}"/>
            </a:ext>
            <a:ext uri="{147F2762-F138-4A5C-976F-8EAC2B608ADB}">
              <a16:predDERef xmlns:a16="http://schemas.microsoft.com/office/drawing/2014/main" pred="{50933A92-EFFF-43B3-A466-6FAC62E93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0"/>
          <a:ext cx="1390650" cy="459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2</xdr:row>
      <xdr:rowOff>116837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14B48-83A4-45C5-8901-F6510AA21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0650" cy="478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3784-AB2A-4485-8443-8D0BD6330BC0}">
  <dimension ref="A4:F44"/>
  <sheetViews>
    <sheetView workbookViewId="0"/>
  </sheetViews>
  <sheetFormatPr defaultRowHeight="14.1"/>
  <cols>
    <col min="1" max="1" width="14.25" style="1" customWidth="1"/>
    <col min="2" max="2" width="51.125" style="1" customWidth="1"/>
    <col min="3" max="4" width="12.375" style="1" customWidth="1"/>
    <col min="5" max="6" width="8.625" style="1"/>
  </cols>
  <sheetData>
    <row r="4" spans="1:6">
      <c r="A4" s="1" t="s">
        <v>0</v>
      </c>
    </row>
    <row r="5" spans="1:6">
      <c r="A5" s="12" t="s">
        <v>1</v>
      </c>
      <c r="C5" s="12"/>
    </row>
    <row r="6" spans="1:6">
      <c r="C6" s="12"/>
      <c r="E6" s="2"/>
    </row>
    <row r="7" spans="1:6" ht="14.45" thickBot="1">
      <c r="A7" s="13"/>
      <c r="B7" s="14"/>
    </row>
    <row r="8" spans="1:6" ht="14.45" thickBot="1">
      <c r="A8" s="15" t="s">
        <v>2</v>
      </c>
      <c r="B8" s="16"/>
    </row>
    <row r="9" spans="1:6">
      <c r="A9" s="13" t="s">
        <v>3</v>
      </c>
      <c r="B9" s="14" t="s">
        <v>4</v>
      </c>
    </row>
    <row r="11" spans="1:6">
      <c r="A11" s="3" t="s">
        <v>5</v>
      </c>
      <c r="B11" s="3" t="s">
        <v>6</v>
      </c>
      <c r="C11" s="3" t="s">
        <v>7</v>
      </c>
      <c r="D11" s="3" t="s">
        <v>8</v>
      </c>
    </row>
    <row r="12" spans="1:6">
      <c r="A12" s="4">
        <v>46153</v>
      </c>
      <c r="B12" s="5" t="s">
        <v>9</v>
      </c>
      <c r="C12" s="6"/>
      <c r="D12" s="11">
        <v>4</v>
      </c>
      <c r="E12" s="7" t="s">
        <v>10</v>
      </c>
      <c r="F12" s="7"/>
    </row>
    <row r="13" spans="1:6">
      <c r="A13" s="8"/>
      <c r="B13" s="8"/>
      <c r="C13" s="8"/>
      <c r="D13" s="8"/>
    </row>
    <row r="14" spans="1:6">
      <c r="A14" s="8"/>
      <c r="B14" s="8"/>
      <c r="C14" s="8"/>
      <c r="D14" s="8"/>
    </row>
    <row r="15" spans="1:6">
      <c r="A15" s="8"/>
      <c r="B15" s="8"/>
      <c r="C15" s="8"/>
      <c r="D15" s="8"/>
    </row>
    <row r="16" spans="1:6">
      <c r="A16" s="8"/>
      <c r="B16" s="8"/>
      <c r="C16" s="8"/>
      <c r="D16" s="8"/>
    </row>
    <row r="17" spans="1:4">
      <c r="A17" s="8"/>
      <c r="B17" s="8"/>
      <c r="C17" s="8"/>
      <c r="D17" s="8"/>
    </row>
    <row r="18" spans="1:4">
      <c r="A18" s="8"/>
      <c r="B18" s="8"/>
      <c r="C18" s="8"/>
      <c r="D18" s="8"/>
    </row>
    <row r="19" spans="1:4">
      <c r="A19" s="8"/>
      <c r="B19" s="8"/>
      <c r="C19" s="8"/>
      <c r="D19" s="8"/>
    </row>
    <row r="20" spans="1:4">
      <c r="A20" s="8"/>
      <c r="B20" s="8"/>
      <c r="C20" s="8"/>
      <c r="D20" s="8"/>
    </row>
    <row r="21" spans="1:4">
      <c r="A21" s="8"/>
      <c r="B21" s="8"/>
      <c r="C21" s="8"/>
      <c r="D21" s="8"/>
    </row>
    <row r="22" spans="1:4">
      <c r="A22" s="8"/>
      <c r="B22" s="8"/>
      <c r="C22" s="8"/>
      <c r="D22" s="8"/>
    </row>
    <row r="23" spans="1:4">
      <c r="A23" s="8"/>
      <c r="B23" s="8"/>
      <c r="C23" s="8"/>
      <c r="D23" s="8"/>
    </row>
    <row r="24" spans="1:4">
      <c r="A24" s="8"/>
      <c r="B24" s="8"/>
      <c r="C24" s="8"/>
      <c r="D24" s="8"/>
    </row>
    <row r="25" spans="1:4">
      <c r="A25" s="8"/>
      <c r="B25" s="8"/>
      <c r="C25" s="8"/>
      <c r="D25" s="8"/>
    </row>
    <row r="26" spans="1:4">
      <c r="A26" s="8"/>
      <c r="B26" s="8"/>
      <c r="C26" s="8"/>
      <c r="D26" s="8"/>
    </row>
    <row r="27" spans="1:4">
      <c r="A27" s="8"/>
      <c r="B27" s="8"/>
      <c r="C27" s="8"/>
      <c r="D27" s="8"/>
    </row>
    <row r="28" spans="1:4">
      <c r="A28" s="8"/>
      <c r="B28" s="8"/>
      <c r="C28" s="8"/>
      <c r="D28" s="8"/>
    </row>
    <row r="29" spans="1:4">
      <c r="A29" s="8"/>
      <c r="B29" s="8"/>
      <c r="C29" s="8"/>
      <c r="D29" s="8"/>
    </row>
    <row r="30" spans="1:4">
      <c r="A30" s="8"/>
      <c r="B30" s="8"/>
      <c r="C30" s="8"/>
      <c r="D30" s="8"/>
    </row>
    <row r="31" spans="1:4">
      <c r="A31" s="8"/>
      <c r="B31" s="8"/>
      <c r="C31" s="8"/>
      <c r="D31" s="8"/>
    </row>
    <row r="32" spans="1:4">
      <c r="A32" s="8"/>
      <c r="B32" s="8"/>
      <c r="C32" s="8"/>
      <c r="D32" s="8"/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  <row r="37" spans="1:4">
      <c r="A37" s="8"/>
      <c r="B37" s="8"/>
      <c r="C37" s="8"/>
      <c r="D37" s="8"/>
    </row>
    <row r="38" spans="1:4">
      <c r="A38" s="8"/>
      <c r="B38" s="8"/>
      <c r="C38" s="8"/>
      <c r="D38" s="8"/>
    </row>
    <row r="39" spans="1:4">
      <c r="A39" s="8"/>
      <c r="B39" s="8"/>
      <c r="C39" s="8"/>
      <c r="D39" s="8"/>
    </row>
    <row r="40" spans="1:4">
      <c r="A40" s="8"/>
      <c r="B40" s="8"/>
      <c r="C40" s="8"/>
      <c r="D40" s="8"/>
    </row>
    <row r="41" spans="1:4">
      <c r="A41" s="8"/>
      <c r="B41" s="8"/>
      <c r="C41" s="8"/>
      <c r="D41" s="8"/>
    </row>
    <row r="42" spans="1:4">
      <c r="A42" s="8"/>
      <c r="B42" s="8"/>
      <c r="C42" s="8"/>
      <c r="D42" s="8"/>
    </row>
    <row r="43" spans="1:4">
      <c r="B43" s="9" t="s">
        <v>11</v>
      </c>
      <c r="C43" s="9">
        <f>SUM(C12:C42)</f>
        <v>0</v>
      </c>
      <c r="D43" s="9">
        <f>SUM(D12:D42)</f>
        <v>4</v>
      </c>
    </row>
    <row r="44" spans="1:4">
      <c r="B44" s="10"/>
      <c r="C44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44"/>
  <sheetViews>
    <sheetView topLeftCell="A19" workbookViewId="0">
      <selection activeCell="D43" sqref="D43"/>
    </sheetView>
  </sheetViews>
  <sheetFormatPr defaultColWidth="8.625" defaultRowHeight="12.6"/>
  <cols>
    <col min="1" max="1" width="14.25" style="1" customWidth="1"/>
    <col min="2" max="2" width="51.125" style="1" customWidth="1"/>
    <col min="3" max="4" width="12.375" style="1" customWidth="1"/>
    <col min="5" max="16384" width="8.625" style="1"/>
  </cols>
  <sheetData>
    <row r="3" spans="1:7" ht="12.6" customHeight="1"/>
    <row r="4" spans="1:7" ht="12.6" customHeight="1">
      <c r="A4" s="1" t="s">
        <v>0</v>
      </c>
    </row>
    <row r="5" spans="1:7" ht="12.6" customHeight="1">
      <c r="A5" s="12" t="s">
        <v>1</v>
      </c>
      <c r="C5" s="12"/>
    </row>
    <row r="6" spans="1:7" ht="12.6" customHeight="1">
      <c r="C6" s="12"/>
      <c r="E6" s="2"/>
    </row>
    <row r="7" spans="1:7" ht="12.6" customHeight="1" thickBot="1">
      <c r="A7" s="13"/>
      <c r="B7" s="14"/>
    </row>
    <row r="8" spans="1:7" ht="12.6" customHeight="1" thickBot="1">
      <c r="A8" s="15" t="s">
        <v>2</v>
      </c>
      <c r="B8" s="16" t="s">
        <v>12</v>
      </c>
    </row>
    <row r="9" spans="1:7" ht="12.6" customHeight="1">
      <c r="A9" s="13" t="s">
        <v>3</v>
      </c>
      <c r="B9" s="14" t="s">
        <v>13</v>
      </c>
    </row>
    <row r="11" spans="1:7" ht="12.95">
      <c r="A11" s="3" t="s">
        <v>5</v>
      </c>
      <c r="B11" s="3" t="s">
        <v>6</v>
      </c>
      <c r="C11" s="3" t="s">
        <v>7</v>
      </c>
      <c r="D11" s="3" t="s">
        <v>8</v>
      </c>
    </row>
    <row r="12" spans="1:7" ht="12.75">
      <c r="A12" s="18">
        <v>46174</v>
      </c>
      <c r="B12" s="22" t="s">
        <v>14</v>
      </c>
      <c r="C12" s="17" t="s">
        <v>15</v>
      </c>
      <c r="D12" s="19">
        <v>0.3125</v>
      </c>
      <c r="E12" s="7"/>
      <c r="F12" s="7"/>
      <c r="G12" s="7"/>
    </row>
    <row r="13" spans="1:7" ht="12.75">
      <c r="A13" s="18">
        <v>46175</v>
      </c>
      <c r="B13" s="22" t="s">
        <v>16</v>
      </c>
      <c r="C13" s="17" t="s">
        <v>15</v>
      </c>
      <c r="D13" s="19">
        <v>0.3125</v>
      </c>
    </row>
    <row r="14" spans="1:7" ht="12.75">
      <c r="A14" s="18">
        <v>46177</v>
      </c>
      <c r="B14" s="22" t="s">
        <v>17</v>
      </c>
      <c r="C14" s="17" t="s">
        <v>15</v>
      </c>
      <c r="D14" s="19">
        <v>0.3125</v>
      </c>
    </row>
    <row r="15" spans="1:7" ht="12.75">
      <c r="A15" s="18">
        <v>46178</v>
      </c>
      <c r="B15" s="22" t="s">
        <v>18</v>
      </c>
      <c r="C15" s="17" t="s">
        <v>15</v>
      </c>
      <c r="D15" s="19">
        <v>0.3125</v>
      </c>
    </row>
    <row r="16" spans="1:7" ht="12.75">
      <c r="A16" s="18">
        <v>46181</v>
      </c>
      <c r="B16" s="22" t="s">
        <v>19</v>
      </c>
      <c r="C16" s="17" t="s">
        <v>15</v>
      </c>
      <c r="D16" s="19">
        <v>0.3125</v>
      </c>
    </row>
    <row r="17" spans="1:4" ht="12.75">
      <c r="A17" s="18">
        <v>46182</v>
      </c>
      <c r="B17" s="22" t="s">
        <v>20</v>
      </c>
      <c r="C17" s="17" t="s">
        <v>15</v>
      </c>
      <c r="D17" s="19">
        <v>0.3125</v>
      </c>
    </row>
    <row r="18" spans="1:4" ht="12.75">
      <c r="A18" s="18">
        <v>46184</v>
      </c>
      <c r="B18" s="22" t="s">
        <v>21</v>
      </c>
      <c r="C18" s="17" t="s">
        <v>15</v>
      </c>
      <c r="D18" s="19">
        <v>0.3125</v>
      </c>
    </row>
    <row r="19" spans="1:4" ht="12.75">
      <c r="A19" s="18">
        <v>46185</v>
      </c>
      <c r="B19" s="22" t="s">
        <v>22</v>
      </c>
      <c r="C19" s="17" t="s">
        <v>15</v>
      </c>
      <c r="D19" s="19">
        <v>0.3125</v>
      </c>
    </row>
    <row r="20" spans="1:4" ht="12.75">
      <c r="A20" s="18">
        <v>46188</v>
      </c>
      <c r="B20" s="22" t="s">
        <v>23</v>
      </c>
      <c r="C20" s="17" t="s">
        <v>15</v>
      </c>
      <c r="D20" s="19">
        <v>0.30902777777777779</v>
      </c>
    </row>
    <row r="21" spans="1:4" ht="12.75">
      <c r="A21" s="18">
        <v>46189</v>
      </c>
      <c r="B21" s="22" t="s">
        <v>24</v>
      </c>
      <c r="C21" s="17" t="s">
        <v>15</v>
      </c>
      <c r="D21" s="19">
        <v>0.3125</v>
      </c>
    </row>
    <row r="22" spans="1:4" ht="12.75">
      <c r="A22" s="18">
        <v>46191</v>
      </c>
      <c r="B22" s="22" t="s">
        <v>25</v>
      </c>
      <c r="C22" s="17" t="s">
        <v>15</v>
      </c>
      <c r="D22" s="19">
        <v>0.3125</v>
      </c>
    </row>
    <row r="23" spans="1:4" ht="12.75">
      <c r="A23" s="18">
        <v>46195</v>
      </c>
      <c r="B23" s="22" t="s">
        <v>26</v>
      </c>
      <c r="C23" s="17" t="s">
        <v>15</v>
      </c>
      <c r="D23" s="19">
        <v>0.3125</v>
      </c>
    </row>
    <row r="24" spans="1:4" ht="12.75">
      <c r="A24" s="18">
        <v>46196</v>
      </c>
      <c r="B24" s="22" t="s">
        <v>27</v>
      </c>
      <c r="C24" s="17" t="s">
        <v>15</v>
      </c>
      <c r="D24" s="19">
        <v>0.3125</v>
      </c>
    </row>
    <row r="25" spans="1:4" ht="12.75">
      <c r="A25" s="18">
        <v>46198</v>
      </c>
      <c r="B25" s="22" t="s">
        <v>28</v>
      </c>
      <c r="C25" s="17" t="s">
        <v>15</v>
      </c>
      <c r="D25" s="19">
        <v>0.3125</v>
      </c>
    </row>
    <row r="26" spans="1:4" ht="12.75">
      <c r="A26" s="18">
        <v>46199</v>
      </c>
      <c r="B26" s="22" t="s">
        <v>29</v>
      </c>
      <c r="C26" s="17" t="s">
        <v>15</v>
      </c>
      <c r="D26" s="19">
        <v>0.3125</v>
      </c>
    </row>
    <row r="27" spans="1:4" ht="12.75">
      <c r="A27" s="18">
        <v>46202</v>
      </c>
      <c r="B27" s="22" t="s">
        <v>30</v>
      </c>
      <c r="C27" s="17" t="s">
        <v>15</v>
      </c>
      <c r="D27" s="19">
        <v>0.3125</v>
      </c>
    </row>
    <row r="28" spans="1:4" ht="12.75">
      <c r="A28" s="18">
        <v>46203</v>
      </c>
      <c r="B28" s="22" t="s">
        <v>31</v>
      </c>
      <c r="C28" s="17" t="s">
        <v>15</v>
      </c>
      <c r="D28" s="19">
        <v>0.3125</v>
      </c>
    </row>
    <row r="29" spans="1:4" ht="12.75">
      <c r="A29" s="8"/>
      <c r="B29" s="8"/>
      <c r="C29" s="17" t="s">
        <v>15</v>
      </c>
      <c r="D29" s="20"/>
    </row>
    <row r="30" spans="1:4" ht="12.75">
      <c r="A30" s="8"/>
      <c r="B30" s="8"/>
      <c r="C30" s="17" t="s">
        <v>15</v>
      </c>
      <c r="D30" s="20"/>
    </row>
    <row r="31" spans="1:4" ht="12.75">
      <c r="A31" s="8"/>
      <c r="B31" s="8"/>
      <c r="C31" s="17" t="s">
        <v>15</v>
      </c>
      <c r="D31" s="20"/>
    </row>
    <row r="32" spans="1:4" ht="12.75">
      <c r="A32" s="8"/>
      <c r="B32" s="8"/>
      <c r="C32" s="17" t="s">
        <v>15</v>
      </c>
      <c r="D32" s="20"/>
    </row>
    <row r="33" spans="1:4" ht="12.75">
      <c r="A33" s="8"/>
      <c r="B33" s="8"/>
      <c r="C33" s="17" t="s">
        <v>15</v>
      </c>
      <c r="D33" s="20"/>
    </row>
    <row r="34" spans="1:4" ht="12.75">
      <c r="A34" s="8"/>
      <c r="B34" s="8"/>
      <c r="C34" s="17" t="s">
        <v>15</v>
      </c>
      <c r="D34" s="20"/>
    </row>
    <row r="35" spans="1:4" ht="12.75">
      <c r="A35" s="8"/>
      <c r="B35" s="8"/>
      <c r="C35" s="17" t="s">
        <v>15</v>
      </c>
      <c r="D35" s="20"/>
    </row>
    <row r="36" spans="1:4" ht="12.75">
      <c r="A36" s="8"/>
      <c r="B36" s="8"/>
      <c r="C36" s="17" t="s">
        <v>15</v>
      </c>
      <c r="D36" s="20"/>
    </row>
    <row r="37" spans="1:4" ht="12.75">
      <c r="A37" s="8"/>
      <c r="B37" s="8"/>
      <c r="C37" s="17" t="s">
        <v>15</v>
      </c>
      <c r="D37" s="20"/>
    </row>
    <row r="38" spans="1:4" ht="12.75">
      <c r="A38" s="8"/>
      <c r="B38" s="8"/>
      <c r="C38" s="17" t="s">
        <v>15</v>
      </c>
      <c r="D38" s="20"/>
    </row>
    <row r="39" spans="1:4" ht="12.75">
      <c r="A39" s="8"/>
      <c r="B39" s="8"/>
      <c r="C39" s="17" t="s">
        <v>15</v>
      </c>
      <c r="D39" s="20"/>
    </row>
    <row r="40" spans="1:4" ht="12.75">
      <c r="A40" s="8"/>
      <c r="B40" s="8"/>
      <c r="C40" s="17" t="s">
        <v>15</v>
      </c>
      <c r="D40" s="20"/>
    </row>
    <row r="41" spans="1:4" ht="12.75">
      <c r="A41" s="8"/>
      <c r="B41" s="8"/>
      <c r="C41" s="17" t="s">
        <v>15</v>
      </c>
      <c r="D41" s="20"/>
    </row>
    <row r="42" spans="1:4" ht="12.75">
      <c r="A42" s="8"/>
      <c r="B42" s="8"/>
      <c r="C42" s="17" t="s">
        <v>15</v>
      </c>
      <c r="D42" s="20"/>
    </row>
    <row r="43" spans="1:4">
      <c r="B43" s="9" t="s">
        <v>11</v>
      </c>
      <c r="C43" s="9">
        <f>SUM(C12:C42)</f>
        <v>0</v>
      </c>
      <c r="D43" s="21">
        <f>SUM(D12:D42)</f>
        <v>5.3090277777777777</v>
      </c>
    </row>
    <row r="44" spans="1:4" ht="12.95">
      <c r="B44" s="10"/>
      <c r="C44" s="10"/>
    </row>
  </sheetData>
  <pageMargins left="0.7" right="0.7" top="0.75" bottom="0.75" header="0.3" footer="0.3"/>
  <pageSetup paperSize="9" orientation="portrait" r:id="rId1"/>
  <headerFooter>
    <oddFooter>&amp;L_x000D_&amp;1#&amp;"Aptos"&amp;10&amp;K000000 LUT Group Confidential - Other information (3Y)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DE38-4994-43A1-AACC-0C2C8E252B04}">
  <dimension ref="A1:G44"/>
  <sheetViews>
    <sheetView topLeftCell="A16" workbookViewId="0">
      <selection activeCell="D43" sqref="D43"/>
    </sheetView>
  </sheetViews>
  <sheetFormatPr defaultRowHeight="14.1"/>
  <cols>
    <col min="1" max="1" width="14.25" style="1" customWidth="1"/>
    <col min="2" max="2" width="58.75" style="1" customWidth="1"/>
    <col min="3" max="4" width="12.375" style="1" customWidth="1"/>
    <col min="5" max="6" width="8.625" style="1"/>
  </cols>
  <sheetData>
    <row r="1" spans="1:7" ht="14.25">
      <c r="G1" s="1"/>
    </row>
    <row r="2" spans="1:7" ht="14.25">
      <c r="G2" s="1"/>
    </row>
    <row r="3" spans="1:7" ht="14.25">
      <c r="G3" s="1"/>
    </row>
    <row r="4" spans="1:7" ht="14.25">
      <c r="A4" s="1" t="s">
        <v>0</v>
      </c>
      <c r="G4" s="1"/>
    </row>
    <row r="5" spans="1:7" ht="14.25">
      <c r="A5" s="12" t="s">
        <v>1</v>
      </c>
      <c r="C5" s="12"/>
      <c r="G5" s="1"/>
    </row>
    <row r="6" spans="1:7" ht="14.25">
      <c r="C6" s="12"/>
      <c r="E6" s="2"/>
      <c r="G6" s="1"/>
    </row>
    <row r="7" spans="1:7" ht="14.25">
      <c r="A7" s="13"/>
      <c r="B7" s="14"/>
      <c r="G7" s="1"/>
    </row>
    <row r="8" spans="1:7" ht="14.25">
      <c r="A8" s="15" t="s">
        <v>2</v>
      </c>
      <c r="B8" s="16" t="s">
        <v>12</v>
      </c>
      <c r="G8" s="1"/>
    </row>
    <row r="9" spans="1:7" ht="14.25">
      <c r="A9" s="13" t="s">
        <v>3</v>
      </c>
      <c r="B9" s="14" t="s">
        <v>13</v>
      </c>
      <c r="G9" s="1"/>
    </row>
    <row r="10" spans="1:7" ht="14.25">
      <c r="G10" s="1"/>
    </row>
    <row r="11" spans="1:7">
      <c r="A11" s="3" t="s">
        <v>5</v>
      </c>
      <c r="B11" s="3" t="s">
        <v>6</v>
      </c>
      <c r="C11" s="3" t="s">
        <v>7</v>
      </c>
      <c r="D11" s="3" t="s">
        <v>8</v>
      </c>
    </row>
    <row r="12" spans="1:7" ht="14.25">
      <c r="A12" s="18">
        <v>46205</v>
      </c>
      <c r="B12" s="22" t="s">
        <v>32</v>
      </c>
      <c r="C12" s="6"/>
      <c r="D12" s="19">
        <v>0.30208333333333331</v>
      </c>
      <c r="E12" s="7"/>
      <c r="F12" s="7"/>
    </row>
    <row r="13" spans="1:7" ht="14.25">
      <c r="A13" s="18">
        <v>46206</v>
      </c>
      <c r="B13" s="22" t="s">
        <v>33</v>
      </c>
      <c r="C13" s="8"/>
      <c r="D13" s="19">
        <v>0.3125</v>
      </c>
    </row>
    <row r="14" spans="1:7" ht="14.25">
      <c r="A14" s="18">
        <v>46209</v>
      </c>
      <c r="B14" s="22" t="s">
        <v>34</v>
      </c>
      <c r="C14" s="8"/>
      <c r="D14" s="19">
        <v>0.30208333333333331</v>
      </c>
    </row>
    <row r="15" spans="1:7" ht="14.25">
      <c r="A15" s="18">
        <v>46210</v>
      </c>
      <c r="B15" s="22" t="s">
        <v>35</v>
      </c>
      <c r="C15" s="8"/>
      <c r="D15" s="19">
        <v>0.3125</v>
      </c>
    </row>
    <row r="16" spans="1:7" ht="14.25">
      <c r="A16" s="18">
        <v>46212</v>
      </c>
      <c r="B16" s="22" t="s">
        <v>35</v>
      </c>
      <c r="C16" s="8"/>
      <c r="D16" s="19">
        <v>0.30208333333333331</v>
      </c>
    </row>
    <row r="17" spans="1:4" ht="14.25">
      <c r="A17" s="18">
        <v>46213</v>
      </c>
      <c r="B17" s="22" t="s">
        <v>36</v>
      </c>
      <c r="C17" s="8"/>
      <c r="D17" s="19">
        <v>0.30208333333333331</v>
      </c>
    </row>
    <row r="18" spans="1:4" ht="14.25">
      <c r="A18" s="18">
        <v>46216</v>
      </c>
      <c r="B18" s="22" t="s">
        <v>37</v>
      </c>
      <c r="C18" s="8"/>
      <c r="D18" s="19">
        <v>0.30208333333333331</v>
      </c>
    </row>
    <row r="19" spans="1:4" ht="14.25">
      <c r="A19" s="18">
        <v>46217</v>
      </c>
      <c r="B19" s="22" t="s">
        <v>38</v>
      </c>
      <c r="C19" s="8"/>
      <c r="D19" s="19">
        <v>0.30208333333333331</v>
      </c>
    </row>
    <row r="20" spans="1:4" ht="14.25">
      <c r="A20" s="18">
        <v>46219</v>
      </c>
      <c r="B20" s="22" t="s">
        <v>39</v>
      </c>
      <c r="C20" s="8"/>
      <c r="D20" s="19">
        <v>0.30208333333333331</v>
      </c>
    </row>
    <row r="21" spans="1:4" ht="14.25">
      <c r="A21" s="18">
        <v>46220</v>
      </c>
      <c r="B21" s="22" t="s">
        <v>40</v>
      </c>
      <c r="C21" s="8"/>
      <c r="D21" s="19">
        <v>0.30208333333333331</v>
      </c>
    </row>
    <row r="22" spans="1:4" ht="14.25">
      <c r="A22" s="18">
        <v>46223</v>
      </c>
      <c r="B22" s="22" t="s">
        <v>41</v>
      </c>
      <c r="C22" s="8"/>
      <c r="D22" s="19">
        <v>0.3125</v>
      </c>
    </row>
    <row r="23" spans="1:4" ht="14.25">
      <c r="A23" s="18">
        <v>46224</v>
      </c>
      <c r="B23" s="22" t="s">
        <v>42</v>
      </c>
      <c r="C23" s="8"/>
      <c r="D23" s="19">
        <v>0.3125</v>
      </c>
    </row>
    <row r="24" spans="1:4" ht="14.25">
      <c r="A24" s="18">
        <v>46226</v>
      </c>
      <c r="B24" s="22" t="s">
        <v>43</v>
      </c>
      <c r="C24" s="8"/>
      <c r="D24" s="19">
        <v>0.3125</v>
      </c>
    </row>
    <row r="25" spans="1:4" ht="14.25">
      <c r="A25" s="18">
        <v>46227</v>
      </c>
      <c r="B25" s="22" t="s">
        <v>44</v>
      </c>
      <c r="C25" s="8"/>
      <c r="D25" s="19">
        <v>0.30208333333333331</v>
      </c>
    </row>
    <row r="26" spans="1:4" ht="14.25">
      <c r="A26" s="18">
        <v>46230</v>
      </c>
      <c r="B26" s="22" t="s">
        <v>45</v>
      </c>
      <c r="C26" s="8"/>
      <c r="D26" s="19">
        <v>0.3125</v>
      </c>
    </row>
    <row r="27" spans="1:4" ht="14.25">
      <c r="A27" s="18">
        <v>46231</v>
      </c>
      <c r="B27" s="22" t="s">
        <v>46</v>
      </c>
      <c r="C27" s="8"/>
      <c r="D27" s="19">
        <v>0.3125</v>
      </c>
    </row>
    <row r="28" spans="1:4" ht="14.25">
      <c r="A28" s="18">
        <v>46233</v>
      </c>
      <c r="B28" s="22" t="s">
        <v>47</v>
      </c>
      <c r="C28" s="8"/>
      <c r="D28" s="19">
        <v>0.3125</v>
      </c>
    </row>
    <row r="29" spans="1:4" ht="14.25">
      <c r="A29" s="18">
        <v>46234</v>
      </c>
      <c r="B29" s="22" t="s">
        <v>47</v>
      </c>
      <c r="C29" s="8"/>
      <c r="D29" s="19">
        <v>0.3125</v>
      </c>
    </row>
    <row r="30" spans="1:4">
      <c r="A30" s="18"/>
      <c r="B30" s="8"/>
      <c r="C30" s="8"/>
      <c r="D30" s="20"/>
    </row>
    <row r="31" spans="1:4">
      <c r="A31" s="18"/>
      <c r="B31" s="8"/>
      <c r="C31" s="8"/>
      <c r="D31" s="20"/>
    </row>
    <row r="32" spans="1:4">
      <c r="A32" s="8"/>
      <c r="B32" s="8"/>
      <c r="C32" s="8"/>
      <c r="D32" s="20"/>
    </row>
    <row r="33" spans="1:4">
      <c r="A33" s="8"/>
      <c r="B33" s="8"/>
      <c r="C33" s="8"/>
      <c r="D33" s="20"/>
    </row>
    <row r="34" spans="1:4">
      <c r="A34" s="8"/>
      <c r="B34" s="8"/>
      <c r="C34" s="8"/>
      <c r="D34" s="20"/>
    </row>
    <row r="35" spans="1:4">
      <c r="A35" s="8"/>
      <c r="B35" s="8"/>
      <c r="C35" s="8"/>
      <c r="D35" s="20"/>
    </row>
    <row r="36" spans="1:4">
      <c r="A36" s="8"/>
      <c r="B36" s="8"/>
      <c r="C36" s="8"/>
      <c r="D36" s="20"/>
    </row>
    <row r="37" spans="1:4">
      <c r="A37" s="8"/>
      <c r="B37" s="8"/>
      <c r="C37" s="8"/>
      <c r="D37" s="20"/>
    </row>
    <row r="38" spans="1:4">
      <c r="A38" s="8"/>
      <c r="B38" s="8"/>
      <c r="C38" s="8"/>
      <c r="D38" s="20"/>
    </row>
    <row r="39" spans="1:4">
      <c r="A39" s="8"/>
      <c r="B39" s="8"/>
      <c r="C39" s="8"/>
      <c r="D39" s="20"/>
    </row>
    <row r="40" spans="1:4">
      <c r="A40" s="8"/>
      <c r="B40" s="8"/>
      <c r="C40" s="8"/>
      <c r="D40" s="20"/>
    </row>
    <row r="41" spans="1:4">
      <c r="A41" s="8"/>
      <c r="B41" s="8"/>
      <c r="C41" s="8"/>
      <c r="D41" s="20"/>
    </row>
    <row r="42" spans="1:4">
      <c r="A42" s="8"/>
      <c r="B42" s="8"/>
      <c r="C42" s="8"/>
      <c r="D42" s="20"/>
    </row>
    <row r="43" spans="1:4">
      <c r="B43" s="9" t="s">
        <v>11</v>
      </c>
      <c r="C43" s="9">
        <f>SUM(C12:C42)</f>
        <v>0</v>
      </c>
      <c r="D43" s="21">
        <f>SUM(D12:D29)+SUM(June!D12:D28)</f>
        <v>10.840277777777779</v>
      </c>
    </row>
    <row r="44" spans="1:4">
      <c r="B44" s="10"/>
      <c r="C44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8D0C-6D79-4825-9EC1-03DED7B27A0A}">
  <dimension ref="A4:G44"/>
  <sheetViews>
    <sheetView tabSelected="1" workbookViewId="0">
      <selection activeCell="F28" sqref="F28"/>
    </sheetView>
  </sheetViews>
  <sheetFormatPr defaultRowHeight="14.1"/>
  <cols>
    <col min="1" max="1" width="14.25" style="1" customWidth="1"/>
    <col min="2" max="2" width="51.125" style="1" customWidth="1"/>
    <col min="3" max="4" width="12.375" style="1" customWidth="1"/>
    <col min="5" max="6" width="8.625" style="1"/>
  </cols>
  <sheetData>
    <row r="4" spans="1:7">
      <c r="A4" s="1" t="s">
        <v>0</v>
      </c>
    </row>
    <row r="5" spans="1:7">
      <c r="A5" s="12" t="s">
        <v>1</v>
      </c>
      <c r="C5" s="12"/>
    </row>
    <row r="6" spans="1:7">
      <c r="C6" s="12"/>
      <c r="E6" s="2"/>
    </row>
    <row r="7" spans="1:7" ht="14.45" thickBot="1">
      <c r="A7" s="13"/>
      <c r="B7" s="14"/>
    </row>
    <row r="8" spans="1:7" ht="14.25">
      <c r="A8" s="15" t="s">
        <v>2</v>
      </c>
      <c r="B8" s="16" t="s">
        <v>12</v>
      </c>
      <c r="G8" s="1"/>
    </row>
    <row r="9" spans="1:7" ht="14.25">
      <c r="A9" s="13" t="s">
        <v>3</v>
      </c>
      <c r="B9" s="14" t="s">
        <v>13</v>
      </c>
      <c r="G9" s="1"/>
    </row>
    <row r="11" spans="1:7">
      <c r="A11" s="3" t="s">
        <v>5</v>
      </c>
      <c r="B11" s="3" t="s">
        <v>6</v>
      </c>
      <c r="C11" s="3" t="s">
        <v>7</v>
      </c>
      <c r="D11" s="3" t="s">
        <v>8</v>
      </c>
    </row>
    <row r="12" spans="1:7" ht="14.25">
      <c r="A12" s="18">
        <v>46237</v>
      </c>
      <c r="B12" s="22" t="s">
        <v>47</v>
      </c>
      <c r="C12" s="6"/>
      <c r="D12" s="19">
        <v>0.3125</v>
      </c>
      <c r="E12" s="7"/>
      <c r="F12" s="7"/>
    </row>
    <row r="13" spans="1:7" ht="14.25">
      <c r="A13" s="18">
        <v>46238</v>
      </c>
      <c r="B13" s="22" t="s">
        <v>48</v>
      </c>
      <c r="C13" s="8"/>
      <c r="D13" s="19">
        <v>9.7222222222222224E-2</v>
      </c>
    </row>
    <row r="14" spans="1:7" ht="14.25">
      <c r="A14" s="8"/>
      <c r="B14" s="22"/>
      <c r="C14" s="8"/>
      <c r="D14" s="8"/>
    </row>
    <row r="15" spans="1:7">
      <c r="A15" s="8"/>
      <c r="B15" s="8"/>
      <c r="C15" s="8"/>
      <c r="D15" s="8"/>
    </row>
    <row r="16" spans="1:7">
      <c r="A16" s="8"/>
      <c r="B16" s="8"/>
      <c r="C16" s="8"/>
      <c r="D16" s="8"/>
    </row>
    <row r="17" spans="1:4">
      <c r="A17" s="8"/>
      <c r="B17" s="8"/>
      <c r="C17" s="8"/>
      <c r="D17" s="8"/>
    </row>
    <row r="18" spans="1:4">
      <c r="A18" s="8"/>
      <c r="B18" s="8"/>
      <c r="C18" s="8"/>
      <c r="D18" s="8"/>
    </row>
    <row r="19" spans="1:4">
      <c r="A19" s="8"/>
      <c r="B19" s="8"/>
      <c r="C19" s="8"/>
      <c r="D19" s="8"/>
    </row>
    <row r="20" spans="1:4">
      <c r="A20" s="8"/>
      <c r="B20" s="8"/>
      <c r="C20" s="8"/>
      <c r="D20" s="8"/>
    </row>
    <row r="21" spans="1:4">
      <c r="A21" s="8"/>
      <c r="B21" s="8"/>
      <c r="C21" s="8"/>
      <c r="D21" s="8"/>
    </row>
    <row r="22" spans="1:4">
      <c r="A22" s="8"/>
      <c r="B22" s="8"/>
      <c r="C22" s="8"/>
      <c r="D22" s="8"/>
    </row>
    <row r="23" spans="1:4">
      <c r="A23" s="8"/>
      <c r="B23" s="8"/>
      <c r="C23" s="8"/>
      <c r="D23" s="8"/>
    </row>
    <row r="24" spans="1:4">
      <c r="A24" s="8"/>
      <c r="B24" s="8"/>
      <c r="C24" s="8"/>
      <c r="D24" s="8"/>
    </row>
    <row r="25" spans="1:4">
      <c r="A25" s="8"/>
      <c r="B25" s="8"/>
      <c r="C25" s="8"/>
      <c r="D25" s="8"/>
    </row>
    <row r="26" spans="1:4">
      <c r="A26" s="8"/>
      <c r="B26" s="8"/>
      <c r="C26" s="8"/>
      <c r="D26" s="8"/>
    </row>
    <row r="27" spans="1:4">
      <c r="A27" s="8"/>
      <c r="B27" s="8"/>
      <c r="C27" s="8"/>
      <c r="D27" s="8"/>
    </row>
    <row r="28" spans="1:4">
      <c r="A28" s="8"/>
      <c r="B28" s="8"/>
      <c r="C28" s="8"/>
      <c r="D28" s="8"/>
    </row>
    <row r="29" spans="1:4">
      <c r="A29" s="8"/>
      <c r="B29" s="8"/>
      <c r="C29" s="8"/>
      <c r="D29" s="8"/>
    </row>
    <row r="30" spans="1:4">
      <c r="A30" s="8"/>
      <c r="B30" s="8"/>
      <c r="C30" s="8"/>
      <c r="D30" s="8"/>
    </row>
    <row r="31" spans="1:4">
      <c r="A31" s="8"/>
      <c r="B31" s="8"/>
      <c r="C31" s="8"/>
      <c r="D31" s="8"/>
    </row>
    <row r="32" spans="1:4">
      <c r="A32" s="8"/>
      <c r="B32" s="8"/>
      <c r="C32" s="8"/>
      <c r="D32" s="8"/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  <row r="37" spans="1:4">
      <c r="A37" s="8"/>
      <c r="B37" s="8"/>
      <c r="C37" s="8"/>
      <c r="D37" s="8"/>
    </row>
    <row r="38" spans="1:4">
      <c r="A38" s="8"/>
      <c r="B38" s="8"/>
      <c r="C38" s="8"/>
      <c r="D38" s="8"/>
    </row>
    <row r="39" spans="1:4">
      <c r="A39" s="8"/>
      <c r="B39" s="8"/>
      <c r="C39" s="8"/>
      <c r="D39" s="8"/>
    </row>
    <row r="40" spans="1:4">
      <c r="A40" s="8"/>
      <c r="B40" s="8"/>
      <c r="C40" s="8"/>
      <c r="D40" s="8"/>
    </row>
    <row r="41" spans="1:4">
      <c r="A41" s="8"/>
      <c r="B41" s="8"/>
      <c r="C41" s="8"/>
      <c r="D41" s="8"/>
    </row>
    <row r="42" spans="1:4">
      <c r="A42" s="8"/>
      <c r="B42" s="8"/>
      <c r="C42" s="8"/>
      <c r="D42" s="8"/>
    </row>
    <row r="43" spans="1:4">
      <c r="B43" s="9" t="s">
        <v>11</v>
      </c>
      <c r="C43" s="9">
        <f>SUM(C12:C42)</f>
        <v>0</v>
      </c>
      <c r="D43" s="21">
        <f>SUM(D12:D42)+SUM(July!D12:D42)+SUM(June!D12:D42)</f>
        <v>11.25</v>
      </c>
    </row>
    <row r="44" spans="1:4">
      <c r="B44" s="10"/>
      <c r="C44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066EEF0DE24D4492D9C9223F31EFF2" ma:contentTypeVersion="6" ma:contentTypeDescription="Create a new document." ma:contentTypeScope="" ma:versionID="387f3c199da76a1f3188128e6fd3c77f">
  <xsd:schema xmlns:xsd="http://www.w3.org/2001/XMLSchema" xmlns:xs="http://www.w3.org/2001/XMLSchema" xmlns:p="http://schemas.microsoft.com/office/2006/metadata/properties" xmlns:ns2="cf5d3255-0e65-4eb3-a86f-77ccaa0f4cd5" targetNamespace="http://schemas.microsoft.com/office/2006/metadata/properties" ma:root="true" ma:fieldsID="1e0ce45d3b68438b86ddbe12e2c2bba2" ns2:_="">
    <xsd:import namespace="cf5d3255-0e65-4eb3-a86f-77ccaa0f4c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5d3255-0e65-4eb3-a86f-77ccaa0f4c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6CADE8-979A-415B-99A3-CA73057E6A68}"/>
</file>

<file path=customXml/itemProps2.xml><?xml version="1.0" encoding="utf-8"?>
<ds:datastoreItem xmlns:ds="http://schemas.openxmlformats.org/officeDocument/2006/customXml" ds:itemID="{E33E1F16-5366-4B07-9590-05DC3E094670}"/>
</file>

<file path=customXml/itemProps3.xml><?xml version="1.0" encoding="utf-8"?>
<ds:datastoreItem xmlns:ds="http://schemas.openxmlformats.org/officeDocument/2006/customXml" ds:itemID="{63F998AC-5A2D-44F7-8784-ED177A1940E6}"/>
</file>

<file path=docMetadata/LabelInfo.xml><?xml version="1.0" encoding="utf-8"?>
<clbl:labelList xmlns:clbl="http://schemas.microsoft.com/office/2020/mipLabelMetadata">
  <clbl:label id="{4306014c-c088-4a50-b503-4830bda7971c}" enabled="1" method="Standard" siteId="{9d97530e-8f27-4137-a2a9-5cb4dcf26f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PHKK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Päivi Kärnä</dc:creator>
  <cp:keywords/>
  <dc:description/>
  <cp:lastModifiedBy/>
  <cp:revision/>
  <dcterms:created xsi:type="dcterms:W3CDTF">2014-03-10T06:46:08Z</dcterms:created>
  <dcterms:modified xsi:type="dcterms:W3CDTF">2026-08-18T21:57:44Z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0x0101000F066EEF0DE24D4492D9C9223F31EFF2</vt:lpwstr>
  </property>
</Properties>
</file>